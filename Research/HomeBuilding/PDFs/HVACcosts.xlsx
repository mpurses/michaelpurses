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urs\OneDrive\Documents\My Web Sites\michaelpurses\Research\HomeBuilding\PDFs\"/>
    </mc:Choice>
  </mc:AlternateContent>
  <xr:revisionPtr revIDLastSave="0" documentId="8_{9EDC7AE6-9955-483E-86F2-E69F04E590DC}" xr6:coauthVersionLast="46" xr6:coauthVersionMax="46" xr10:uidLastSave="{00000000-0000-0000-0000-000000000000}"/>
  <bookViews>
    <workbookView xWindow="1050" yWindow="-120" windowWidth="27870" windowHeight="16440" xr2:uid="{82169248-6696-4061-9B2E-FEE833DAA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<sst xmlns="http://schemas.openxmlformats.org/spreadsheetml/2006/main" count="22" uniqueCount="22">
  <si>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System Type</t>
  </si>
  <si>
    <t>Efficiency</t>
  </si>
  <si>
    <t>System Cost</t>
  </si>
  <si>
    <t>Annual Operating Cost (1)</t>
  </si>
  <si>
    <t>Geothermal Heat Pump</t>
  </si>
  <si>
    <t>35 - 45 EER</t>
  </si>
  <si>
    <t>$11,000 - $25,500</t>
  </si>
  <si>
    <t>Mini Split Heat Pump</t>
  </si>
  <si>
    <t>18 - 20 EER</t>
  </si>
  <si>
    <t>Standard Heat Pump</t>
  </si>
  <si>
    <t>13 - 15 EER</t>
  </si>
  <si>
    <t>$2,300 - $6,300</t>
  </si>
  <si>
    <t>Gas Furnace</t>
  </si>
  <si>
    <t>95% - 98.7% AFUE</t>
  </si>
  <si>
    <t>Gas Boiler</t>
  </si>
  <si>
    <t>95% - 98%</t>
  </si>
  <si>
    <t>$3,000 - $12,000</t>
  </si>
  <si>
    <t>$2,800 - $4,500</t>
  </si>
  <si>
    <t>$3,000 - $9,700</t>
  </si>
  <si>
    <t>Average Cost</t>
  </si>
  <si>
    <t>Payback Period (years)</t>
  </si>
  <si>
    <t>(1) The annual operating costs are for a 2,000 square foot home in CZ5 - moderately cold climate.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</si>
</sst>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3A3A3A"/>
      <name val="Arial"/>
      <family val="2"/>
    </font>
    <font>
      <sz val="13"/>
      <color rgb="FF3A3A3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4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E05E-7A8E-4B23-AC33-9365320E6045}">
  <dimension ref="A1:F8"/>
  <sheetViews>
    <sheetView tabSelected="1" workbookViewId="0">
      <selection activeCell="H3" sqref="H3"/>
    </sheetView>
  </sheetViews>
  <sheetFormatPr defaultRowHeight="15" x14ac:dyDescent="0.25"/>
  <cols>
    <col min="1" max="1" width="25.85546875" bestFit="1" customWidth="1"/>
    <col min="2" max="2" width="22.28515625" bestFit="1" customWidth="1"/>
    <col min="3" max="3" width="20.7109375" bestFit="1" customWidth="1"/>
    <col min="4" max="4" width="16.5703125" bestFit="1" customWidth="1"/>
    <col min="5" max="5" width="21.140625" bestFit="1" customWidth="1"/>
    <col min="6" max="6" width="19" customWidth="1"/>
  </cols>
  <sheetData>
    <row r="1" spans="1:6" ht="33" x14ac:dyDescent="0.25">
      <c r="A1" s="6" t="s">
        <v>0</v>
      </c>
      <c r="B1" s="6" t="s">
        <v>1</v>
      </c>
      <c r="C1" s="6" t="s">
        <v>2</v>
      </c>
      <c r="D1" s="6" t="s">
        <v>19</v>
      </c>
      <c r="E1" s="6" t="s">
        <v>3</v>
      </c>
      <c r="F1" s="6" t="s">
        <v>20</v>
      </c>
    </row>
    <row r="2" spans="1:6" ht="16.5" x14ac:dyDescent="0.25">
      <c r="A2" s="3" t="s">
        <v>4</v>
      </c>
      <c r="B2" s="3" t="s">
        <v>5</v>
      </c>
      <c r="C2" s="3" t="s">
        <v>6</v>
      </c>
      <c r="D2" s="3">
        <f>(25500+11000)/2</f>
        <v>18250</v>
      </c>
      <c r="E2" s="3">
        <v>582</v>
      </c>
      <c r="F2" s="3"/>
    </row>
    <row r="3" spans="1:6" ht="16.5" x14ac:dyDescent="0.25">
      <c r="A3" s="4" t="s">
        <v>7</v>
      </c>
      <c r="B3" s="4" t="s">
        <v>8</v>
      </c>
      <c r="C3" s="4" t="s">
        <v>16</v>
      </c>
      <c r="D3" s="3">
        <f>(3000+12000)/2</f>
        <v>7500</v>
      </c>
      <c r="E3" s="4">
        <v>1048</v>
      </c>
      <c r="F3" s="4"/>
    </row>
    <row r="4" spans="1:6" ht="16.5" x14ac:dyDescent="0.25">
      <c r="A4" s="3" t="s">
        <v>9</v>
      </c>
      <c r="B4" s="3" t="s">
        <v>10</v>
      </c>
      <c r="C4" s="3" t="s">
        <v>11</v>
      </c>
      <c r="D4" s="3">
        <f>(2330+6300)/2</f>
        <v>4315</v>
      </c>
      <c r="E4" s="3">
        <v>1265</v>
      </c>
      <c r="F4" s="3"/>
    </row>
    <row r="5" spans="1:6" ht="16.5" x14ac:dyDescent="0.25">
      <c r="A5" s="4" t="s">
        <v>12</v>
      </c>
      <c r="B5" s="4" t="s">
        <v>13</v>
      </c>
      <c r="C5" s="4" t="s">
        <v>17</v>
      </c>
      <c r="D5" s="3">
        <f>(2800+4500)/2</f>
        <v>3650</v>
      </c>
      <c r="E5" s="4">
        <v>1884</v>
      </c>
      <c r="F5" s="4"/>
    </row>
    <row r="6" spans="1:6" ht="16.5" x14ac:dyDescent="0.25">
      <c r="A6" s="3" t="s">
        <v>14</v>
      </c>
      <c r="B6" s="3" t="s">
        <v>15</v>
      </c>
      <c r="C6" s="3" t="s">
        <v>18</v>
      </c>
      <c r="D6" s="3">
        <f>(3000+9700)/2</f>
        <v>6350</v>
      </c>
      <c r="E6" s="3">
        <v>1736</v>
      </c>
      <c r="F6" s="3"/>
    </row>
    <row r="7" spans="1:6" ht="16.5" customHeight="1" x14ac:dyDescent="0.25">
      <c r="A7" s="5" t="s">
        <v>21</v>
      </c>
      <c r="B7" s="5"/>
      <c r="C7" s="1"/>
      <c r="D7" s="1"/>
      <c r="E7" s="1"/>
    </row>
    <row r="8" spans="1:6" x14ac:dyDescent="0.25">
      <c r="A8" s="2"/>
      <c r="B8" s="2"/>
    </row>
  </sheetData>
  <mergeCells count="1">
    <mergeCell ref="A7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Purses</dc:creator>
  <cp:lastModifiedBy>Michael Purses</cp:lastModifiedBy>
  <dcterms:created xsi:type="dcterms:W3CDTF">2021-03-04T18:45:04Z</dcterms:created>
  <dcterms:modified xsi:type="dcterms:W3CDTF">2021-03-04T19:05:46Z</dcterms:modified>
</cp:coreProperties>
</file>